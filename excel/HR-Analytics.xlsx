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9E843F0AC4F74/Desktop/HR-Analytics-Workforce-Intelligence/excel/"/>
    </mc:Choice>
  </mc:AlternateContent>
  <xr:revisionPtr revIDLastSave="3" documentId="8_{AFF109E9-BB83-4F3B-ACB0-B5149D24B136}" xr6:coauthVersionLast="47" xr6:coauthVersionMax="47" xr10:uidLastSave="{0B3574BD-D8D9-43D0-B183-5E1266F9EF1F}"/>
  <bookViews>
    <workbookView xWindow="-110" yWindow="-110" windowWidth="19420" windowHeight="11500" xr2:uid="{C1CB586E-D4FD-4B53-8A6B-12131EDCE4B2}"/>
  </bookViews>
  <sheets>
    <sheet name="HR-Employee-Attrition" sheetId="1" r:id="rId1"/>
    <sheet name="HR Summary" sheetId="2" r:id="rId2"/>
    <sheet name="Attrition Rate by Department" sheetId="4" r:id="rId3"/>
    <sheet name="Attrition Rate by Overtime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5" l="1"/>
  <c r="B11" i="5"/>
  <c r="B19" i="4"/>
  <c r="B18" i="4"/>
  <c r="B17" i="4"/>
  <c r="B5" i="2"/>
  <c r="B4" i="2"/>
  <c r="B6" i="2" s="1"/>
  <c r="B3" i="2"/>
</calcChain>
</file>

<file path=xl/sharedStrings.xml><?xml version="1.0" encoding="utf-8"?>
<sst xmlns="http://schemas.openxmlformats.org/spreadsheetml/2006/main" count="13298" uniqueCount="72">
  <si>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</si>
  <si>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</si>
  <si>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</si>
  <si>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</si>
  <si>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</si>
  <si>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</si>
  <si>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</si>
  <si>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</si>
  <si>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</si>
  <si>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</si>
  <si>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</si>
  <si>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</si>
  <si>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</si>
  <si>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</si>
  <si>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</si>
  <si>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</si>
  <si>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</si>
  <si>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</si>
  <si>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</si>
  <si>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</si>
  <si>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</si>
  <si>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</si>
  <si>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</si>
  <si>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</si>
  <si>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</si>
  <si>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</si>
  <si>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</si>
  <si>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</si>
  <si>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</si>
  <si>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</si>
  <si>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</si>
  <si>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</si>
  <si>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</si>
  <si>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</si>
  <si>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</si>
  <si>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</si>
  <si>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</si>
  <si>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</si>
  <si>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</si>
  <si>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</si>
  <si>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</si>
  <si>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</si>
  <si>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</si>
  <si>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</si>
  <si>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</si>
  <si>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</si>
  <si>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</si>
  <si>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</si>
  <si>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</si>
  <si>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</si>
  <si>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</si>
  <si>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</si>
  <si>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</si>
  <si>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</si>
  <si>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</si>
  <si>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</si>
  <si>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</si>
  <si>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</si>
  <si>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</si>
  <si>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</si>
  <si>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</si>
  <si>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</si>
  <si>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HR Analytics Summary</t>
  </si>
  <si>
    <t>Total Employees</t>
  </si>
  <si>
    <t>Employees Left</t>
  </si>
  <si>
    <t>Employees Retained</t>
  </si>
  <si>
    <t>Attrition Rate</t>
  </si>
  <si>
    <t>Row Labels</t>
  </si>
  <si>
    <t>Grand Total</t>
  </si>
  <si>
    <t>Count of EmployeeNumber</t>
  </si>
  <si>
    <t>Column Labels</t>
  </si>
  <si>
    <t>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</si>
</sst>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as Kamble" refreshedDate="46306.598827199072" createdVersion="8" refreshedVersion="8" minRefreshableVersion="3" recordCount="1470" xr:uid="{93C926EE-F038-46FF-AE58-6E8483E30C4F}">
  <cacheSource type="worksheet">
    <worksheetSource name="Table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1C081C-28C3-479C-B2D0-72AA1E41DAD1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B5E73-8F69-44E1-B4A2-4F5866F694F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9" subtotal="count" baseField="2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0682F-5F85-4702-B3B7-E01A625ED924}" name="Table1" displayName="Table1" ref="A1:AI1471" totalsRowShown="0">
  <autoFilter ref="A1:AI1471" xr:uid="{9710682F-5F85-4702-B3B7-E01A625ED924}"/>
  <tableColumns count="35">
    <tableColumn id="1" xr3:uid="{DE58C856-9869-4944-9ED7-25938F9D854D}" name="Age"/>
    <tableColumn id="2" xr3:uid="{14D78B1B-A1B2-4638-867C-AB87A1007BCB}" name="Attrition"/>
    <tableColumn id="3" xr3:uid="{95839784-35DE-4E6B-B444-2C8796F93159}" name="BusinessTravel"/>
    <tableColumn id="4" xr3:uid="{8C3A0250-B71B-4960-9FFC-670D8C0D2F58}" name="DailyRate"/>
    <tableColumn id="5" xr3:uid="{18AB66BB-4608-465C-A0B2-588A8BA2A0D9}" name="Department"/>
    <tableColumn id="6" xr3:uid="{31B921F6-035C-4D00-925A-75D3FC74038F}" name="DistanceFromHome"/>
    <tableColumn id="7" xr3:uid="{A428EA3A-F0DC-4A1E-A916-093FFBE7E29B}" name="Education"/>
    <tableColumn id="8" xr3:uid="{209F0B56-65F1-4BE6-878B-D25524D024A0}" name="EducationField"/>
    <tableColumn id="9" xr3:uid="{59AA7FDF-A89D-4E62-A4F9-B71257891C95}" name="EmployeeCount"/>
    <tableColumn id="10" xr3:uid="{AF02BE80-04E9-4836-9692-59391ABB777E}" name="EmployeeNumber"/>
    <tableColumn id="11" xr3:uid="{99D5F4C3-E527-4DA0-9277-8E98AC4FDBE6}" name="EnvironmentSatisfaction"/>
    <tableColumn id="12" xr3:uid="{56024BAF-CAAD-48AD-A88B-D5296B85D2A7}" name="Gender"/>
    <tableColumn id="13" xr3:uid="{1EAF0B2E-43AF-4BFE-818A-56A8F7F49E31}" name="HourlyRate"/>
    <tableColumn id="14" xr3:uid="{FA3C560D-28F4-48DD-A658-0A7BEA1F05C6}" name="JobInvolvement"/>
    <tableColumn id="15" xr3:uid="{5A409EC6-C009-467E-A0C6-753EB2C25219}" name="JobLevel"/>
    <tableColumn id="16" xr3:uid="{F3BD3456-B5DD-4810-AE5B-8EF5C1A12C82}" name="JobRole"/>
    <tableColumn id="17" xr3:uid="{6720C41A-9055-4FAA-B6A4-5FB6F57794E0}" name="JobSatisfaction"/>
    <tableColumn id="18" xr3:uid="{FF65AE53-86ED-4481-B0D3-EC76A6014E1D}" name="MaritalStatus"/>
    <tableColumn id="19" xr3:uid="{B002F80A-3C35-4960-8B82-3C6E5F8ADEA7}" name="MonthlyIncome"/>
    <tableColumn id="20" xr3:uid="{DEF2442F-0AF7-4085-BB18-F909AB83267A}" name="MonthlyRate"/>
    <tableColumn id="21" xr3:uid="{3C2265CA-2F76-4E42-908C-F67A1359F5EA}" name="NumCompaniesWorked"/>
    <tableColumn id="22" xr3:uid="{0B3D0CBC-0C43-43B7-AEA1-2DADC92A7171}" name="Over18"/>
    <tableColumn id="23" xr3:uid="{2E5DFE36-5119-45B8-A8A2-5480F62B4C39}" name="OverTime"/>
    <tableColumn id="24" xr3:uid="{7FF66C0A-2F98-4642-873E-946843EF8E5C}" name="PercentSalaryHike"/>
    <tableColumn id="25" xr3:uid="{0CD7E509-E34D-4721-AE4D-814C9BDE7BF1}" name="PerformanceRating"/>
    <tableColumn id="26" xr3:uid="{80D0E897-01E8-42DB-8D3D-F7775FF8E093}" name="RelationshipSatisfaction"/>
    <tableColumn id="27" xr3:uid="{F0E556BA-2FB6-43EE-8D5D-518A97045BF6}" name="StandardHours"/>
    <tableColumn id="28" xr3:uid="{D0A87A3A-5483-4D91-9681-90E4E11A861D}" name="StockOptionLevel"/>
    <tableColumn id="29" xr3:uid="{23129ABE-2A4A-4A7A-A9FC-D9220AD6E369}" name="TotalWorkingYears"/>
    <tableColumn id="30" xr3:uid="{8640FD7C-6E60-418F-821A-4C387040E557}" name="TrainingTimesLastYear"/>
    <tableColumn id="31" xr3:uid="{54F7F340-B919-45CC-81AC-19C0089CC413}" name="WorkLifeBalance"/>
    <tableColumn id="32" xr3:uid="{332AC662-3ADA-4D01-96C8-8915BFF2C873}" name="YearsAtCompany"/>
    <tableColumn id="33" xr3:uid="{88066EE4-688F-43AA-BF8E-E84A0DA81717}" name="YearsInCurrentRole"/>
    <tableColumn id="34" xr3:uid="{FD369B92-20F3-46A3-B114-FCE21B2EC51A}" name="YearsSinceLastPromotion"/>
    <tableColumn id="35" xr3:uid="{C2A67201-D9C9-494C-B8AF-C5365F8BBBAA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1ADF-CA1C-49A6-A606-659A7BB9EFB4}">
  <dimension ref="A1:AI1471"/>
  <sheetViews>
    <sheetView tabSelected="1" workbookViewId="0">
      <selection activeCell="A5" sqref="A5"/>
    </sheetView>
  </sheetViews>
  <sheetFormatPr defaultRowHeight="14.5" x14ac:dyDescent="0.35"/>
  <cols>
    <col min="2" max="2" width="10" customWidth="1"/>
    <col min="3" max="3" width="15.08984375" customWidth="1"/>
    <col min="4" max="4" width="10.7265625" customWidth="1"/>
    <col min="5" max="5" width="13.08984375" customWidth="1"/>
    <col min="6" max="6" width="19.36328125" customWidth="1"/>
    <col min="7" max="7" width="11.1796875" customWidth="1"/>
    <col min="8" max="8" width="15.08984375" customWidth="1"/>
    <col min="9" max="9" width="16.08984375" customWidth="1"/>
    <col min="10" max="10" width="17.81640625" customWidth="1"/>
    <col min="11" max="11" width="23.36328125" customWidth="1"/>
    <col min="12" max="12" width="9" customWidth="1"/>
    <col min="13" max="13" width="12.1796875" customWidth="1"/>
    <col min="14" max="14" width="16.08984375" customWidth="1"/>
    <col min="15" max="15" width="9.81640625" customWidth="1"/>
    <col min="16" max="16" width="9.26953125" customWidth="1"/>
    <col min="17" max="17" width="15.36328125" customWidth="1"/>
    <col min="18" max="18" width="14.1796875" customWidth="1"/>
    <col min="19" max="19" width="16.08984375" customWidth="1"/>
    <col min="20" max="20" width="13.7265625" customWidth="1"/>
    <col min="21" max="21" width="22.81640625" customWidth="1"/>
    <col min="22" max="22" width="8.81640625" customWidth="1"/>
    <col min="23" max="23" width="10.90625" customWidth="1"/>
    <col min="24" max="24" width="18" customWidth="1"/>
    <col min="25" max="25" width="18.90625" customWidth="1"/>
    <col min="26" max="26" width="22.90625" customWidth="1"/>
    <col min="27" max="27" width="15.453125" customWidth="1"/>
    <col min="28" max="28" width="17.36328125" customWidth="1"/>
    <col min="29" max="29" width="18.7265625" customWidth="1"/>
    <col min="30" max="30" width="21.54296875" customWidth="1"/>
    <col min="31" max="31" width="16.81640625" customWidth="1"/>
    <col min="32" max="32" width="17.1796875" customWidth="1"/>
    <col min="33" max="33" width="19.08984375" customWidth="1"/>
    <col min="34" max="34" width="24" customWidth="1"/>
    <col min="35" max="35" width="22.542968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D4C6F-186D-457B-B2DB-F1563FBBD74C}">
  <dimension ref="A1:B6"/>
  <sheetViews>
    <sheetView workbookViewId="0">
      <selection activeCell="E26" sqref="E26"/>
    </sheetView>
  </sheetViews>
  <sheetFormatPr defaultRowHeight="14.5" x14ac:dyDescent="0.35"/>
  <sheetData>
    <row r="1" spans="1:2" x14ac:dyDescent="0.35">
      <c r="A1" t="s">
        <v>62</v>
      </c>
    </row>
    <row r="3" spans="1:2" x14ac:dyDescent="0.35">
      <c r="A3" t="s">
        <v>63</v>
      </c>
      <c r="B3">
        <f>COUNTA('HR-Employee-Attrition'!A:A)-1</f>
        <v>1470</v>
      </c>
    </row>
    <row r="4" spans="1:2" x14ac:dyDescent="0.35">
      <c r="A4" t="s">
        <v>64</v>
      </c>
      <c r="B4">
        <f>COUNTIF('HR-Employee-Attrition'!B:B, "Yes")</f>
        <v>237</v>
      </c>
    </row>
    <row r="5" spans="1:2" x14ac:dyDescent="0.35">
      <c r="A5" t="s">
        <v>65</v>
      </c>
      <c r="B5">
        <f>COUNTIF('HR-Employee-Attrition'!B:B, "No")</f>
        <v>1233</v>
      </c>
    </row>
    <row r="6" spans="1:2" x14ac:dyDescent="0.35">
      <c r="A6" t="s">
        <v>66</v>
      </c>
      <c r="B6" s="1">
        <f>B4/B3</f>
        <v>0.16122448979591836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0D83-E05E-4C66-8E68-7F4778F95628}">
  <dimension ref="A3:E19"/>
  <sheetViews>
    <sheetView workbookViewId="0">
      <selection activeCell="B25" sqref="B25"/>
    </sheetView>
  </sheetViews>
  <sheetFormatPr defaultRowHeight="14.5" x14ac:dyDescent="0.35"/>
  <cols>
    <col min="1" max="1" width="24.08984375" bestFit="1" customWidth="1"/>
    <col min="2" max="2" width="23.81640625" bestFit="1" customWidth="1"/>
  </cols>
  <sheetData>
    <row r="3" spans="1:5" x14ac:dyDescent="0.35">
      <c r="A3" s="2" t="s">
        <v>69</v>
      </c>
      <c r="B3" s="2" t="s">
        <v>70</v>
      </c>
    </row>
    <row r="4" spans="1:5" x14ac:dyDescent="0.35">
      <c r="A4" s="2" t="s">
        <v>67</v>
      </c>
      <c r="B4" t="s">
        <v>43</v>
      </c>
      <c r="C4" t="s">
        <v>35</v>
      </c>
      <c r="D4" t="s">
        <v>68</v>
      </c>
      <c r="E4" s="1"/>
    </row>
    <row r="5" spans="1:5" x14ac:dyDescent="0.35">
      <c r="A5" s="3" t="s">
        <v>61</v>
      </c>
      <c r="B5">
        <v>51</v>
      </c>
      <c r="C5">
        <v>12</v>
      </c>
      <c r="D5">
        <v>63</v>
      </c>
      <c r="E5" s="1"/>
    </row>
    <row r="6" spans="1:5" x14ac:dyDescent="0.35">
      <c r="A6" s="3" t="s">
        <v>45</v>
      </c>
      <c r="B6">
        <v>828</v>
      </c>
      <c r="C6">
        <v>133</v>
      </c>
      <c r="D6">
        <v>961</v>
      </c>
      <c r="E6" s="1"/>
    </row>
    <row r="7" spans="1:5" x14ac:dyDescent="0.35">
      <c r="A7" s="3" t="s">
        <v>37</v>
      </c>
      <c r="B7">
        <v>354</v>
      </c>
      <c r="C7">
        <v>92</v>
      </c>
      <c r="D7">
        <v>446</v>
      </c>
    </row>
    <row r="8" spans="1:5" x14ac:dyDescent="0.35">
      <c r="A8" s="3" t="s">
        <v>68</v>
      </c>
      <c r="B8">
        <v>1233</v>
      </c>
      <c r="C8">
        <v>237</v>
      </c>
      <c r="D8">
        <v>1470</v>
      </c>
    </row>
    <row r="16" spans="1:5" x14ac:dyDescent="0.35">
      <c r="A16" t="s">
        <v>4</v>
      </c>
      <c r="B16" t="s">
        <v>66</v>
      </c>
    </row>
    <row r="17" spans="1:2" x14ac:dyDescent="0.35">
      <c r="A17" t="s">
        <v>61</v>
      </c>
      <c r="B17" s="1">
        <f>12/63</f>
        <v>0.19047619047619047</v>
      </c>
    </row>
    <row r="18" spans="1:2" x14ac:dyDescent="0.35">
      <c r="A18" t="s">
        <v>45</v>
      </c>
      <c r="B18" s="1">
        <f>133/961</f>
        <v>0.13839750260145681</v>
      </c>
    </row>
    <row r="19" spans="1:2" x14ac:dyDescent="0.35">
      <c r="A19" t="s">
        <v>37</v>
      </c>
      <c r="B19" s="1">
        <f>92/446</f>
        <v>0.20627802690582961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DF40-3735-4468-99B8-26313B683D07}">
  <dimension ref="A3:D12"/>
  <sheetViews>
    <sheetView workbookViewId="0">
      <selection activeCell="I16" sqref="I16"/>
    </sheetView>
  </sheetViews>
  <sheetFormatPr defaultRowHeight="14.5" x14ac:dyDescent="0.35"/>
  <cols>
    <col min="1" max="1" width="23.81640625" bestFit="1" customWidth="1"/>
    <col min="2" max="2" width="15.26953125" bestFit="1" customWidth="1"/>
    <col min="3" max="3" width="3.81640625" bestFit="1" customWidth="1"/>
    <col min="4" max="4" width="10.7265625" bestFit="1" customWidth="1"/>
  </cols>
  <sheetData>
    <row r="3" spans="1:4" x14ac:dyDescent="0.35">
      <c r="A3" s="2" t="s">
        <v>69</v>
      </c>
      <c r="B3" s="2" t="s">
        <v>70</v>
      </c>
    </row>
    <row r="4" spans="1:4" x14ac:dyDescent="0.35">
      <c r="A4" s="2" t="s">
        <v>67</v>
      </c>
      <c r="B4" t="s">
        <v>43</v>
      </c>
      <c r="C4" t="s">
        <v>35</v>
      </c>
      <c r="D4" t="s">
        <v>68</v>
      </c>
    </row>
    <row r="5" spans="1:4" x14ac:dyDescent="0.35">
      <c r="A5" s="3" t="s">
        <v>43</v>
      </c>
      <c r="B5">
        <v>944</v>
      </c>
      <c r="C5">
        <v>110</v>
      </c>
      <c r="D5">
        <v>1054</v>
      </c>
    </row>
    <row r="6" spans="1:4" x14ac:dyDescent="0.35">
      <c r="A6" s="3" t="s">
        <v>35</v>
      </c>
      <c r="B6">
        <v>289</v>
      </c>
      <c r="C6">
        <v>127</v>
      </c>
      <c r="D6">
        <v>416</v>
      </c>
    </row>
    <row r="7" spans="1:4" x14ac:dyDescent="0.35">
      <c r="A7" s="3" t="s">
        <v>68</v>
      </c>
      <c r="B7">
        <v>1233</v>
      </c>
      <c r="C7">
        <v>237</v>
      </c>
      <c r="D7">
        <v>1470</v>
      </c>
    </row>
    <row r="10" spans="1:4" x14ac:dyDescent="0.35">
      <c r="A10" s="3" t="s">
        <v>71</v>
      </c>
      <c r="B10" t="s">
        <v>66</v>
      </c>
    </row>
    <row r="11" spans="1:4" x14ac:dyDescent="0.35">
      <c r="A11" s="3" t="s">
        <v>43</v>
      </c>
      <c r="B11" s="1">
        <f>110/1054</f>
        <v>0.10436432637571158</v>
      </c>
    </row>
    <row r="12" spans="1:4" x14ac:dyDescent="0.35">
      <c r="A12" s="3" t="s">
        <v>35</v>
      </c>
      <c r="B12" s="1">
        <f>127/416</f>
        <v>0.30528846153846156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HR-Employee-Attrition</vt:lpstr>
      <vt:lpstr>HR Summary</vt:lpstr>
      <vt:lpstr>Attrition Rate by Department</vt:lpstr>
      <vt:lpstr>Attrition Rate by Overtime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Kamble</dc:creator>
  <cp:lastModifiedBy>Paras Kamble</cp:lastModifiedBy>
  <dcterms:created xsi:type="dcterms:W3CDTF">2026-10-11T08:37:03Z</dcterms:created>
  <dcterms:modified xsi:type="dcterms:W3CDTF">2026-10-23T18:07:33Z</dcterms:modified>
</cp:coreProperties>
</file>